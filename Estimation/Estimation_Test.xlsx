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WORK\SkillsRepository\Estimation\"/>
    </mc:Choice>
  </mc:AlternateContent>
  <xr:revisionPtr revIDLastSave="0" documentId="13_ncr:1_{31C8D2DC-A0A1-434F-930E-C4E26CF4DF5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-Shirt" sheetId="3" r:id="rId1"/>
    <sheet name="Three point Estima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4" l="1"/>
  <c r="G37" i="4"/>
  <c r="G38" i="4"/>
  <c r="G35" i="4"/>
  <c r="G34" i="4"/>
  <c r="G33" i="4"/>
  <c r="G26" i="4"/>
  <c r="G27" i="4"/>
  <c r="G28" i="4"/>
  <c r="G25" i="4"/>
  <c r="G24" i="4"/>
  <c r="G23" i="4"/>
  <c r="G22" i="4"/>
  <c r="G21" i="4"/>
  <c r="G29" i="4" s="1"/>
  <c r="G17" i="4"/>
  <c r="G12" i="4"/>
  <c r="G13" i="4"/>
  <c r="G15" i="4"/>
  <c r="G16" i="4"/>
  <c r="G14" i="4"/>
  <c r="F39" i="3"/>
  <c r="F27" i="3"/>
  <c r="F12" i="3"/>
</calcChain>
</file>

<file path=xl/sharedStrings.xml><?xml version="1.0" encoding="utf-8"?>
<sst xmlns="http://schemas.openxmlformats.org/spreadsheetml/2006/main" count="134" uniqueCount="81">
  <si>
    <t>Notes</t>
  </si>
  <si>
    <t>Task Name</t>
  </si>
  <si>
    <t>Description</t>
  </si>
  <si>
    <t>T-Shirt Size</t>
  </si>
  <si>
    <t>Est. Hours</t>
  </si>
  <si>
    <t>M</t>
  </si>
  <si>
    <t>S</t>
  </si>
  <si>
    <t>L</t>
  </si>
  <si>
    <t>XS</t>
  </si>
  <si>
    <t>1 – 2 hours</t>
  </si>
  <si>
    <t>2 – 4 hours</t>
  </si>
  <si>
    <t>4 – 8 hours</t>
  </si>
  <si>
    <t>8 – 16 hours</t>
  </si>
  <si>
    <t>XL</t>
  </si>
  <si>
    <t>16 – 32 hours</t>
  </si>
  <si>
    <t>Task Number</t>
  </si>
  <si>
    <t>Creating Masterfile</t>
  </si>
  <si>
    <t>Correct naming and hierarchy files, layers</t>
  </si>
  <si>
    <t>Adjust correct resolution and scale</t>
  </si>
  <si>
    <t>Exporting assets from Masterfile</t>
  </si>
  <si>
    <t>Structure assets in folders</t>
  </si>
  <si>
    <t>1.1.1</t>
  </si>
  <si>
    <t>1.1.2</t>
  </si>
  <si>
    <t>Estimated Hours Range (example)</t>
  </si>
  <si>
    <t>Overall Estimation Time:</t>
  </si>
  <si>
    <t>Stage 2: Reskinning assets (UI, reels, symbols, bg, etc..)</t>
  </si>
  <si>
    <t>Stage 1: Masterfile</t>
  </si>
  <si>
    <t>Adjust correct resolution</t>
  </si>
  <si>
    <t>Creating new assets</t>
  </si>
  <si>
    <t>Adjust by Masterfile (resolution, color, filters, etc..)</t>
  </si>
  <si>
    <t>Creating new animation</t>
  </si>
  <si>
    <t>Correcting scale, naming, hierarchy</t>
  </si>
  <si>
    <t>Animation, mask, weigh corrections</t>
  </si>
  <si>
    <t>Export assets (.JSON, ,spine files)</t>
  </si>
  <si>
    <t>2.1.1</t>
  </si>
  <si>
    <t>2.2.1</t>
  </si>
  <si>
    <t>2.2.2</t>
  </si>
  <si>
    <t>2.3.1</t>
  </si>
  <si>
    <t>2.3.2</t>
  </si>
  <si>
    <t>2.3.3</t>
  </si>
  <si>
    <t>Replace assets in works folder</t>
  </si>
  <si>
    <t>Stage 3: Fonts reskin</t>
  </si>
  <si>
    <t>Creating bitmap font sprite</t>
  </si>
  <si>
    <t>Exporting sprite</t>
  </si>
  <si>
    <t>Import to Shoebox (or similar tool)</t>
  </si>
  <si>
    <t>Creating bitmap font and .xml</t>
  </si>
  <si>
    <t>Renaming .ttf font</t>
  </si>
  <si>
    <t>3.1.1</t>
  </si>
  <si>
    <t>3.1.2</t>
  </si>
  <si>
    <t>3.1.3</t>
  </si>
  <si>
    <t>3.1.4</t>
  </si>
  <si>
    <t>3.3.1</t>
  </si>
  <si>
    <t>.JSON, .spine</t>
  </si>
  <si>
    <t>Three-Point Estimation</t>
  </si>
  <si>
    <r>
      <t>• </t>
    </r>
    <r>
      <rPr>
        <b/>
        <sz val="12"/>
        <color rgb="FF313131"/>
        <rFont val="Sigma Sans"/>
      </rPr>
      <t>Optimistic</t>
    </r>
    <r>
      <rPr>
        <sz val="12"/>
        <color rgb="FF313131"/>
        <rFont val="Sigma Sans"/>
      </rPr>
      <t> – the minimum possible time or cost.</t>
    </r>
  </si>
  <si>
    <r>
      <t>• </t>
    </r>
    <r>
      <rPr>
        <b/>
        <sz val="12"/>
        <color rgb="FF313131"/>
        <rFont val="Sigma Sans"/>
      </rPr>
      <t>Pessimistic</t>
    </r>
    <r>
      <rPr>
        <sz val="12"/>
        <color rgb="FF313131"/>
        <rFont val="Sigma Sans"/>
      </rPr>
      <t> – the maximum possible time or cost.</t>
    </r>
  </si>
  <si>
    <r>
      <t>• </t>
    </r>
    <r>
      <rPr>
        <b/>
        <sz val="12"/>
        <color rgb="FF313131"/>
        <rFont val="Sigma Sans"/>
      </rPr>
      <t>Most Likely</t>
    </r>
    <r>
      <rPr>
        <sz val="12"/>
        <color rgb="FF313131"/>
        <rFont val="Sigma Sans"/>
      </rPr>
      <t> – a realistic estimate that is most to be accurate.</t>
    </r>
  </si>
  <si>
    <t>• Expected Case = (O + 4 × ML + P) / 6.</t>
  </si>
  <si>
    <t>Optimistic (O)</t>
  </si>
  <si>
    <t>Most Likely (M)</t>
  </si>
  <si>
    <t>Pessimistic (P)</t>
  </si>
  <si>
    <t>TOTAL (Stage 1)</t>
  </si>
  <si>
    <t>Correct naming and hierarchy</t>
  </si>
  <si>
    <t>Adjust resolution and scale</t>
  </si>
  <si>
    <t>Expected Est. (E) hours</t>
  </si>
  <si>
    <t>Example:</t>
  </si>
  <si>
    <t xml:space="preserve">Optimistic: </t>
  </si>
  <si>
    <t>Hours</t>
  </si>
  <si>
    <t>Pessimistic:</t>
  </si>
  <si>
    <t>Reskinning symbols and reels</t>
  </si>
  <si>
    <t>May occur some problems with layots, spine files, export, resolution. Need scale fixes</t>
  </si>
  <si>
    <t>Most likely:</t>
  </si>
  <si>
    <t>May be minor fixes and predictable adjustments</t>
  </si>
  <si>
    <t>Will be no issues with .spine files and source files (animations, naming, etc..)</t>
  </si>
  <si>
    <t>Animation, mask, weight corrections</t>
  </si>
  <si>
    <t>Export assets (.JSON, .spine)</t>
  </si>
  <si>
    <t>TOTAL (Stage 2)</t>
  </si>
  <si>
    <t>Adjust by Masterfile</t>
  </si>
  <si>
    <t>Adjust resolution</t>
  </si>
  <si>
    <t>Import to Shoebox</t>
  </si>
  <si>
    <t>TOTAL (Stage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</si>
</sst>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313131"/>
      <name val="Sigma Sans"/>
    </font>
    <font>
      <b/>
      <sz val="12"/>
      <color rgb="FF313131"/>
      <name val="Sigma Sans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wrapText="1"/>
    </xf>
    <xf numFmtId="0" fontId="0" fillId="0" borderId="1" xfId="0" applyFont="1" applyBorder="1" applyAlignment="1">
      <alignment vertical="center" wrapText="1"/>
    </xf>
    <xf numFmtId="0" fontId="6" fillId="0" borderId="0" xfId="0" applyFont="1"/>
    <xf numFmtId="0" fontId="8" fillId="0" borderId="0" xfId="0" applyFont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on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0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DA27-D97A-42F1-BEEC-9C03BA47D32A}">
  <dimension ref="B3:K39"/>
  <sheetViews>
    <sheetView topLeftCell="A27" zoomScale="130" zoomScaleNormal="130" workbookViewId="0">
      <selection activeCell="B13" sqref="B13"/>
    </sheetView>
  </sheetViews>
  <sheetFormatPr defaultRowHeight="15" x14ac:dyDescent="0.25"/>
  <cols>
    <col min="1" max="1" width="9.140625" style="9"/>
    <col min="2" max="6" width="19.85546875" style="9" customWidth="1"/>
    <col min="7" max="9" width="9.140625" style="9"/>
    <col min="10" max="10" width="11.140625" style="9" customWidth="1"/>
    <col min="11" max="11" width="20.140625" style="9" customWidth="1"/>
    <col min="12" max="12" width="15.5703125" style="9" customWidth="1"/>
    <col min="13" max="13" width="17.85546875" style="9" customWidth="1"/>
    <col min="14" max="16384" width="9.140625" style="9"/>
  </cols>
  <sheetData>
    <row r="3" spans="2:11" ht="15" customHeight="1" x14ac:dyDescent="0.25">
      <c r="B3" s="10" t="s">
        <v>26</v>
      </c>
      <c r="C3" s="10"/>
      <c r="D3" s="10"/>
      <c r="E3" s="10"/>
      <c r="F3" s="10"/>
    </row>
    <row r="4" spans="2:11" ht="15" customHeight="1" x14ac:dyDescent="0.25">
      <c r="B4" s="10"/>
      <c r="C4" s="10"/>
      <c r="D4" s="10"/>
      <c r="E4" s="10"/>
      <c r="F4" s="10"/>
    </row>
    <row r="6" spans="2:11" ht="30" x14ac:dyDescent="0.25">
      <c r="B6" s="5" t="s">
        <v>15</v>
      </c>
      <c r="C6" s="5" t="s">
        <v>1</v>
      </c>
      <c r="D6" s="5" t="s">
        <v>2</v>
      </c>
      <c r="E6" s="5" t="s">
        <v>3</v>
      </c>
      <c r="F6" s="5" t="s">
        <v>4</v>
      </c>
      <c r="J6" s="5" t="s">
        <v>3</v>
      </c>
      <c r="K6" s="5" t="s">
        <v>23</v>
      </c>
    </row>
    <row r="7" spans="2:11" ht="39" customHeight="1" x14ac:dyDescent="0.25">
      <c r="B7" s="6">
        <v>1.1000000000000001</v>
      </c>
      <c r="C7" s="7" t="s">
        <v>16</v>
      </c>
      <c r="D7" s="7"/>
      <c r="E7" s="8" t="s">
        <v>5</v>
      </c>
      <c r="F7" s="7">
        <v>10</v>
      </c>
      <c r="J7" s="7" t="s">
        <v>8</v>
      </c>
      <c r="K7" s="7" t="s">
        <v>9</v>
      </c>
    </row>
    <row r="8" spans="2:11" ht="39" customHeight="1" x14ac:dyDescent="0.25">
      <c r="B8" s="6" t="s">
        <v>21</v>
      </c>
      <c r="C8" s="7" t="s">
        <v>17</v>
      </c>
      <c r="D8" s="7"/>
      <c r="E8" s="8" t="s">
        <v>6</v>
      </c>
      <c r="F8" s="7">
        <v>2</v>
      </c>
      <c r="J8" s="7" t="s">
        <v>6</v>
      </c>
      <c r="K8" s="7" t="s">
        <v>10</v>
      </c>
    </row>
    <row r="9" spans="2:11" ht="39" customHeight="1" x14ac:dyDescent="0.25">
      <c r="B9" s="6" t="s">
        <v>22</v>
      </c>
      <c r="C9" s="7" t="s">
        <v>18</v>
      </c>
      <c r="D9" s="7"/>
      <c r="E9" s="8" t="s">
        <v>5</v>
      </c>
      <c r="F9" s="7">
        <v>4</v>
      </c>
      <c r="J9" s="7" t="s">
        <v>5</v>
      </c>
      <c r="K9" s="7" t="s">
        <v>11</v>
      </c>
    </row>
    <row r="10" spans="2:11" ht="39" customHeight="1" x14ac:dyDescent="0.25">
      <c r="B10" s="6">
        <v>1.2</v>
      </c>
      <c r="C10" s="7" t="s">
        <v>19</v>
      </c>
      <c r="D10" s="7"/>
      <c r="E10" s="8" t="s">
        <v>6</v>
      </c>
      <c r="F10" s="7">
        <v>2</v>
      </c>
      <c r="J10" s="7" t="s">
        <v>7</v>
      </c>
      <c r="K10" s="7" t="s">
        <v>12</v>
      </c>
    </row>
    <row r="11" spans="2:11" ht="39" customHeight="1" x14ac:dyDescent="0.25">
      <c r="B11" s="6">
        <v>1.3</v>
      </c>
      <c r="C11" s="7" t="s">
        <v>20</v>
      </c>
      <c r="D11" s="7"/>
      <c r="E11" s="8" t="s">
        <v>8</v>
      </c>
      <c r="F11" s="7">
        <v>1</v>
      </c>
      <c r="J11" s="7" t="s">
        <v>13</v>
      </c>
      <c r="K11" s="7" t="s">
        <v>14</v>
      </c>
    </row>
    <row r="12" spans="2:11" ht="39" customHeight="1" x14ac:dyDescent="0.25">
      <c r="B12" s="4"/>
      <c r="C12" s="1"/>
      <c r="D12" s="1" t="s">
        <v>24</v>
      </c>
      <c r="E12" s="2"/>
      <c r="F12" s="3">
        <f>SUM(F7:F11)</f>
        <v>19</v>
      </c>
    </row>
    <row r="13" spans="2:11" ht="39" customHeight="1" x14ac:dyDescent="0.25">
      <c r="B13" s="4"/>
      <c r="C13" s="1"/>
      <c r="D13" s="1"/>
      <c r="E13" s="2"/>
      <c r="F13" s="1"/>
    </row>
    <row r="15" spans="2:11" ht="15" customHeight="1" x14ac:dyDescent="0.25">
      <c r="B15" s="10" t="s">
        <v>25</v>
      </c>
      <c r="C15" s="10"/>
      <c r="D15" s="10"/>
      <c r="E15" s="10"/>
      <c r="F15" s="10"/>
    </row>
    <row r="16" spans="2:11" ht="15" customHeight="1" x14ac:dyDescent="0.25">
      <c r="B16" s="10"/>
      <c r="C16" s="10"/>
      <c r="D16" s="10"/>
      <c r="E16" s="10"/>
      <c r="F16" s="10"/>
    </row>
    <row r="18" spans="2:6" x14ac:dyDescent="0.25">
      <c r="B18" s="5" t="s">
        <v>15</v>
      </c>
      <c r="C18" s="5" t="s">
        <v>1</v>
      </c>
      <c r="D18" s="5" t="s">
        <v>2</v>
      </c>
      <c r="E18" s="5" t="s">
        <v>3</v>
      </c>
      <c r="F18" s="5" t="s">
        <v>4</v>
      </c>
    </row>
    <row r="19" spans="2:6" ht="37.5" customHeight="1" x14ac:dyDescent="0.25">
      <c r="B19" s="6">
        <v>2.1</v>
      </c>
      <c r="C19" s="7" t="s">
        <v>40</v>
      </c>
      <c r="D19" s="7"/>
      <c r="E19" s="8" t="s">
        <v>6</v>
      </c>
      <c r="F19" s="15">
        <v>2</v>
      </c>
    </row>
    <row r="20" spans="2:6" ht="37.5" customHeight="1" x14ac:dyDescent="0.25">
      <c r="B20" s="6" t="s">
        <v>34</v>
      </c>
      <c r="C20" s="7" t="s">
        <v>27</v>
      </c>
      <c r="D20" s="7"/>
      <c r="E20" s="8" t="s">
        <v>6</v>
      </c>
      <c r="F20" s="15">
        <v>3</v>
      </c>
    </row>
    <row r="21" spans="2:6" ht="26.25" customHeight="1" x14ac:dyDescent="0.25">
      <c r="B21" s="6">
        <v>2.2000000000000002</v>
      </c>
      <c r="C21" s="18" t="s">
        <v>28</v>
      </c>
      <c r="D21" s="7"/>
      <c r="E21" s="8" t="s">
        <v>7</v>
      </c>
      <c r="F21" s="15">
        <v>12</v>
      </c>
    </row>
    <row r="22" spans="2:6" ht="49.5" customHeight="1" x14ac:dyDescent="0.25">
      <c r="B22" s="6" t="s">
        <v>35</v>
      </c>
      <c r="C22" s="11" t="s">
        <v>29</v>
      </c>
      <c r="D22" s="7"/>
      <c r="E22" s="8" t="s">
        <v>5</v>
      </c>
      <c r="F22" s="15">
        <v>6</v>
      </c>
    </row>
    <row r="23" spans="2:6" ht="37.5" customHeight="1" x14ac:dyDescent="0.25">
      <c r="B23" s="6" t="s">
        <v>36</v>
      </c>
      <c r="C23" s="11" t="s">
        <v>30</v>
      </c>
      <c r="D23" s="7"/>
      <c r="E23" s="8" t="s">
        <v>7</v>
      </c>
      <c r="F23" s="16">
        <v>8</v>
      </c>
    </row>
    <row r="24" spans="2:6" ht="37.5" customHeight="1" x14ac:dyDescent="0.25">
      <c r="B24" s="12" t="s">
        <v>37</v>
      </c>
      <c r="C24" s="11" t="s">
        <v>31</v>
      </c>
      <c r="D24" s="11"/>
      <c r="E24" s="8" t="s">
        <v>5</v>
      </c>
      <c r="F24" s="17">
        <v>4</v>
      </c>
    </row>
    <row r="25" spans="2:6" ht="37.5" customHeight="1" x14ac:dyDescent="0.25">
      <c r="B25" s="12" t="s">
        <v>38</v>
      </c>
      <c r="C25" s="11" t="s">
        <v>32</v>
      </c>
      <c r="D25" s="11"/>
      <c r="E25" s="8" t="s">
        <v>5</v>
      </c>
      <c r="F25" s="17">
        <v>4</v>
      </c>
    </row>
    <row r="26" spans="2:6" ht="37.5" customHeight="1" x14ac:dyDescent="0.25">
      <c r="B26" s="12" t="s">
        <v>39</v>
      </c>
      <c r="C26" s="11" t="s">
        <v>33</v>
      </c>
      <c r="D26" s="11" t="s">
        <v>52</v>
      </c>
      <c r="E26" s="8" t="s">
        <v>6</v>
      </c>
      <c r="F26" s="17">
        <v>2</v>
      </c>
    </row>
    <row r="27" spans="2:6" ht="30" x14ac:dyDescent="0.25">
      <c r="D27" s="1" t="s">
        <v>24</v>
      </c>
      <c r="F27" s="14">
        <f>SUM(F19:F26)</f>
        <v>41</v>
      </c>
    </row>
    <row r="30" spans="2:6" x14ac:dyDescent="0.25">
      <c r="B30" s="10" t="s">
        <v>41</v>
      </c>
      <c r="C30" s="10"/>
      <c r="D30" s="10"/>
      <c r="E30" s="10"/>
      <c r="F30" s="10"/>
    </row>
    <row r="31" spans="2:6" x14ac:dyDescent="0.25">
      <c r="B31" s="10"/>
      <c r="C31" s="10"/>
      <c r="D31" s="10"/>
      <c r="E31" s="10"/>
      <c r="F31" s="10"/>
    </row>
    <row r="33" spans="2:6" x14ac:dyDescent="0.25">
      <c r="B33" s="5" t="s">
        <v>15</v>
      </c>
      <c r="C33" s="5" t="s">
        <v>1</v>
      </c>
      <c r="D33" s="5" t="s">
        <v>2</v>
      </c>
      <c r="E33" s="5" t="s">
        <v>3</v>
      </c>
      <c r="F33" s="5" t="s">
        <v>4</v>
      </c>
    </row>
    <row r="34" spans="2:6" ht="30" x14ac:dyDescent="0.25">
      <c r="B34" s="6" t="s">
        <v>47</v>
      </c>
      <c r="C34" s="7" t="s">
        <v>42</v>
      </c>
      <c r="D34" s="7"/>
      <c r="E34" s="8" t="s">
        <v>7</v>
      </c>
      <c r="F34" s="15">
        <v>8</v>
      </c>
    </row>
    <row r="35" spans="2:6" x14ac:dyDescent="0.25">
      <c r="B35" s="6" t="s">
        <v>48</v>
      </c>
      <c r="C35" s="18" t="s">
        <v>43</v>
      </c>
      <c r="D35" s="7"/>
      <c r="E35" s="8" t="s">
        <v>8</v>
      </c>
      <c r="F35" s="15">
        <v>1</v>
      </c>
    </row>
    <row r="36" spans="2:6" ht="30" x14ac:dyDescent="0.25">
      <c r="B36" s="6" t="s">
        <v>49</v>
      </c>
      <c r="C36" s="11" t="s">
        <v>44</v>
      </c>
      <c r="D36" s="7"/>
      <c r="E36" s="8" t="s">
        <v>8</v>
      </c>
      <c r="F36" s="15">
        <v>1</v>
      </c>
    </row>
    <row r="37" spans="2:6" ht="30" x14ac:dyDescent="0.25">
      <c r="B37" s="6" t="s">
        <v>50</v>
      </c>
      <c r="C37" s="11" t="s">
        <v>45</v>
      </c>
      <c r="D37" s="7"/>
      <c r="E37" s="8" t="s">
        <v>6</v>
      </c>
      <c r="F37" s="16">
        <v>2</v>
      </c>
    </row>
    <row r="38" spans="2:6" x14ac:dyDescent="0.25">
      <c r="B38" s="12" t="s">
        <v>51</v>
      </c>
      <c r="C38" s="11" t="s">
        <v>46</v>
      </c>
      <c r="D38" s="11"/>
      <c r="E38" s="8" t="s">
        <v>5</v>
      </c>
      <c r="F38" s="17">
        <v>4</v>
      </c>
    </row>
    <row r="39" spans="2:6" ht="30" x14ac:dyDescent="0.25">
      <c r="D39" s="1" t="s">
        <v>24</v>
      </c>
      <c r="F39" s="14">
        <f>SUM(F34:F38)</f>
        <v>16</v>
      </c>
    </row>
  </sheetData>
  <mergeCells count="3">
    <mergeCell ref="B15:F16"/>
    <mergeCell ref="B3:F4"/>
    <mergeCell ref="B30:F3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D3DD-2994-4D3B-91F4-7AF0F4C5171A}">
  <dimension ref="B3:S40"/>
  <sheetViews>
    <sheetView tabSelected="1" topLeftCell="A29" zoomScale="130" zoomScaleNormal="130" workbookViewId="0">
      <selection activeCell="H37" sqref="H37"/>
    </sheetView>
  </sheetViews>
  <sheetFormatPr defaultRowHeight="15" x14ac:dyDescent="0.25"/>
  <cols>
    <col min="3" max="7" width="16" customWidth="1"/>
    <col min="9" max="11" width="13.140625" customWidth="1"/>
  </cols>
  <sheetData>
    <row r="3" spans="2:19" ht="23.25" customHeight="1" x14ac:dyDescent="0.35">
      <c r="B3" s="20" t="s">
        <v>53</v>
      </c>
      <c r="C3" s="20"/>
      <c r="D3" s="20"/>
      <c r="E3" s="20"/>
      <c r="J3" t="s">
        <v>65</v>
      </c>
    </row>
    <row r="4" spans="2:19" ht="45" x14ac:dyDescent="0.25">
      <c r="I4" s="13" t="s">
        <v>69</v>
      </c>
      <c r="J4" s="24" t="s">
        <v>67</v>
      </c>
      <c r="K4" s="28" t="s">
        <v>0</v>
      </c>
      <c r="L4" s="29"/>
      <c r="M4" s="29"/>
      <c r="N4" s="29"/>
      <c r="O4" s="29"/>
      <c r="P4" s="29"/>
      <c r="Q4" s="29"/>
      <c r="R4" s="29"/>
      <c r="S4" s="30"/>
    </row>
    <row r="5" spans="2:19" ht="17.25" x14ac:dyDescent="0.3">
      <c r="B5" s="19" t="s">
        <v>54</v>
      </c>
      <c r="I5" s="25" t="s">
        <v>66</v>
      </c>
      <c r="J5" s="26">
        <v>6</v>
      </c>
      <c r="K5" s="27" t="s">
        <v>73</v>
      </c>
      <c r="L5" s="27"/>
      <c r="M5" s="27"/>
      <c r="N5" s="27"/>
      <c r="O5" s="27"/>
      <c r="P5" s="27"/>
      <c r="Q5" s="27"/>
      <c r="R5" s="27"/>
      <c r="S5" s="27"/>
    </row>
    <row r="6" spans="2:19" ht="17.25" x14ac:dyDescent="0.3">
      <c r="B6" s="19" t="s">
        <v>55</v>
      </c>
      <c r="I6" s="25" t="s">
        <v>68</v>
      </c>
      <c r="J6" s="26">
        <v>10</v>
      </c>
      <c r="K6" s="27" t="s">
        <v>70</v>
      </c>
      <c r="L6" s="27"/>
      <c r="M6" s="27"/>
      <c r="N6" s="27"/>
      <c r="O6" s="27"/>
      <c r="P6" s="27"/>
      <c r="Q6" s="27"/>
      <c r="R6" s="27"/>
      <c r="S6" s="27"/>
    </row>
    <row r="7" spans="2:19" ht="17.25" x14ac:dyDescent="0.3">
      <c r="B7" s="19" t="s">
        <v>56</v>
      </c>
      <c r="I7" s="25" t="s">
        <v>71</v>
      </c>
      <c r="J7" s="26">
        <v>8</v>
      </c>
      <c r="K7" s="27" t="s">
        <v>72</v>
      </c>
      <c r="L7" s="27"/>
      <c r="M7" s="27"/>
      <c r="N7" s="27"/>
      <c r="O7" s="27"/>
      <c r="P7" s="27"/>
      <c r="Q7" s="27"/>
      <c r="R7" s="27"/>
      <c r="S7" s="27"/>
    </row>
    <row r="9" spans="2:19" ht="17.25" x14ac:dyDescent="0.3">
      <c r="C9" s="19" t="s">
        <v>57</v>
      </c>
    </row>
    <row r="11" spans="2:19" ht="54" customHeight="1" x14ac:dyDescent="0.25">
      <c r="C11" s="5" t="s">
        <v>1</v>
      </c>
      <c r="D11" s="5" t="s">
        <v>58</v>
      </c>
      <c r="E11" s="5" t="s">
        <v>59</v>
      </c>
      <c r="F11" s="5" t="s">
        <v>60</v>
      </c>
      <c r="G11" s="5" t="s">
        <v>64</v>
      </c>
    </row>
    <row r="12" spans="2:19" ht="30" x14ac:dyDescent="0.25">
      <c r="C12" s="7" t="s">
        <v>16</v>
      </c>
      <c r="D12" s="7">
        <v>8</v>
      </c>
      <c r="E12" s="7">
        <v>10</v>
      </c>
      <c r="F12" s="7">
        <v>14</v>
      </c>
      <c r="G12" s="22">
        <f>(D12+4*E12+F12)/6</f>
        <v>10.333333333333334</v>
      </c>
    </row>
    <row r="13" spans="2:19" ht="30" x14ac:dyDescent="0.25">
      <c r="C13" s="7" t="s">
        <v>62</v>
      </c>
      <c r="D13" s="7">
        <v>1</v>
      </c>
      <c r="E13" s="7">
        <v>2</v>
      </c>
      <c r="F13" s="7">
        <v>3</v>
      </c>
      <c r="G13" s="22">
        <f>(D13+4*E13+F13)/6</f>
        <v>2</v>
      </c>
    </row>
    <row r="14" spans="2:19" ht="45" x14ac:dyDescent="0.25">
      <c r="C14" s="7" t="s">
        <v>63</v>
      </c>
      <c r="D14" s="7">
        <v>3</v>
      </c>
      <c r="E14" s="7">
        <v>4</v>
      </c>
      <c r="F14" s="7">
        <v>6</v>
      </c>
      <c r="G14" s="22">
        <f t="shared" ref="G13:G15" si="0">(D14+4*E14+F14)/6</f>
        <v>4.166666666666667</v>
      </c>
    </row>
    <row r="15" spans="2:19" ht="30" x14ac:dyDescent="0.25">
      <c r="C15" s="7" t="s">
        <v>19</v>
      </c>
      <c r="D15" s="7">
        <v>1</v>
      </c>
      <c r="E15" s="7">
        <v>2</v>
      </c>
      <c r="F15" s="7">
        <v>4</v>
      </c>
      <c r="G15" s="22">
        <f>(D15+4*E15+F15)/6</f>
        <v>2.1666666666666665</v>
      </c>
    </row>
    <row r="16" spans="2:19" ht="30" x14ac:dyDescent="0.25">
      <c r="C16" s="7" t="s">
        <v>20</v>
      </c>
      <c r="D16" s="7">
        <v>0.5</v>
      </c>
      <c r="E16" s="7">
        <v>1</v>
      </c>
      <c r="F16" s="7">
        <v>2</v>
      </c>
      <c r="G16" s="22">
        <f>(D16+4*E16+F16)/6</f>
        <v>1.0833333333333333</v>
      </c>
    </row>
    <row r="17" spans="3:7" x14ac:dyDescent="0.25">
      <c r="C17" s="21" t="s">
        <v>61</v>
      </c>
      <c r="D17" s="7"/>
      <c r="E17" s="7"/>
      <c r="F17" s="7"/>
      <c r="G17" s="23">
        <f>SUM(G12:G16)</f>
        <v>19.75</v>
      </c>
    </row>
    <row r="20" spans="3:7" ht="30" x14ac:dyDescent="0.25">
      <c r="C20" s="5" t="s">
        <v>1</v>
      </c>
      <c r="D20" s="5" t="s">
        <v>58</v>
      </c>
      <c r="E20" s="5" t="s">
        <v>59</v>
      </c>
      <c r="F20" s="5" t="s">
        <v>60</v>
      </c>
      <c r="G20" s="5" t="s">
        <v>64</v>
      </c>
    </row>
    <row r="21" spans="3:7" ht="30" x14ac:dyDescent="0.25">
      <c r="C21" s="7" t="s">
        <v>40</v>
      </c>
      <c r="D21" s="7">
        <v>1</v>
      </c>
      <c r="E21" s="7">
        <v>2</v>
      </c>
      <c r="F21" s="7">
        <v>4</v>
      </c>
      <c r="G21" s="22">
        <f>(D21+4*E21+F21)/6</f>
        <v>2.1666666666666665</v>
      </c>
    </row>
    <row r="22" spans="3:7" ht="30" x14ac:dyDescent="0.25">
      <c r="C22" s="7" t="s">
        <v>78</v>
      </c>
      <c r="D22" s="7">
        <v>2</v>
      </c>
      <c r="E22" s="7">
        <v>3</v>
      </c>
      <c r="F22" s="7">
        <v>5</v>
      </c>
      <c r="G22" s="22">
        <f>(D22+4*E22+F22)/6</f>
        <v>3.1666666666666665</v>
      </c>
    </row>
    <row r="23" spans="3:7" ht="30" x14ac:dyDescent="0.25">
      <c r="C23" s="7" t="s">
        <v>28</v>
      </c>
      <c r="D23" s="7">
        <v>10</v>
      </c>
      <c r="E23" s="7">
        <v>12</v>
      </c>
      <c r="F23" s="7">
        <v>16</v>
      </c>
      <c r="G23" s="22">
        <f t="shared" ref="G23" si="1">(D23+4*E23+F23)/6</f>
        <v>12.333333333333334</v>
      </c>
    </row>
    <row r="24" spans="3:7" ht="30" x14ac:dyDescent="0.25">
      <c r="C24" s="7" t="s">
        <v>77</v>
      </c>
      <c r="D24" s="7">
        <v>4</v>
      </c>
      <c r="E24" s="7">
        <v>6</v>
      </c>
      <c r="F24" s="7">
        <v>9</v>
      </c>
      <c r="G24" s="22">
        <f>(D24+4*E24+F24)/6</f>
        <v>6.166666666666667</v>
      </c>
    </row>
    <row r="25" spans="3:7" ht="30" x14ac:dyDescent="0.25">
      <c r="C25" s="7" t="s">
        <v>30</v>
      </c>
      <c r="D25" s="7">
        <v>6</v>
      </c>
      <c r="E25" s="7">
        <v>8</v>
      </c>
      <c r="F25" s="7">
        <v>12</v>
      </c>
      <c r="G25" s="22">
        <f>(D25+4*E25+F25)/6</f>
        <v>8.3333333333333339</v>
      </c>
    </row>
    <row r="26" spans="3:7" ht="45" x14ac:dyDescent="0.25">
      <c r="C26" s="7" t="s">
        <v>31</v>
      </c>
      <c r="D26" s="7">
        <v>3</v>
      </c>
      <c r="E26" s="7">
        <v>4</v>
      </c>
      <c r="F26" s="7">
        <v>6</v>
      </c>
      <c r="G26" s="22">
        <f>(D26+4*E26+F26)/6</f>
        <v>4.166666666666667</v>
      </c>
    </row>
    <row r="27" spans="3:7" ht="45" x14ac:dyDescent="0.25">
      <c r="C27" s="7" t="s">
        <v>74</v>
      </c>
      <c r="D27" s="7">
        <v>3</v>
      </c>
      <c r="E27" s="7">
        <v>4</v>
      </c>
      <c r="F27" s="7">
        <v>6</v>
      </c>
      <c r="G27" s="22">
        <f>(D27+4*E27+F27)/6</f>
        <v>4.166666666666667</v>
      </c>
    </row>
    <row r="28" spans="3:7" ht="30" x14ac:dyDescent="0.25">
      <c r="C28" s="7" t="s">
        <v>75</v>
      </c>
      <c r="D28" s="7">
        <v>1</v>
      </c>
      <c r="E28" s="7">
        <v>2</v>
      </c>
      <c r="F28" s="7">
        <v>3</v>
      </c>
      <c r="G28" s="22">
        <f t="shared" ref="G28" si="2">(D28+4*E28+F28)/6</f>
        <v>2</v>
      </c>
    </row>
    <row r="29" spans="3:7" x14ac:dyDescent="0.25">
      <c r="C29" s="21" t="s">
        <v>76</v>
      </c>
      <c r="D29" s="7"/>
      <c r="E29" s="7"/>
      <c r="F29" s="7"/>
      <c r="G29" s="23">
        <f>SUM(G21:G28)</f>
        <v>42.5</v>
      </c>
    </row>
    <row r="32" spans="3:7" ht="30" x14ac:dyDescent="0.25">
      <c r="C32" s="5" t="s">
        <v>1</v>
      </c>
      <c r="D32" s="5" t="s">
        <v>58</v>
      </c>
      <c r="E32" s="5" t="s">
        <v>59</v>
      </c>
      <c r="F32" s="5" t="s">
        <v>60</v>
      </c>
      <c r="G32" s="5" t="s">
        <v>64</v>
      </c>
    </row>
    <row r="33" spans="3:7" ht="30" x14ac:dyDescent="0.25">
      <c r="C33" s="7" t="s">
        <v>42</v>
      </c>
      <c r="D33" s="7">
        <v>6</v>
      </c>
      <c r="E33" s="7">
        <v>8</v>
      </c>
      <c r="F33" s="7">
        <v>12</v>
      </c>
      <c r="G33" s="22">
        <f>(D33+4*E33+F33)/6</f>
        <v>8.3333333333333339</v>
      </c>
    </row>
    <row r="34" spans="3:7" x14ac:dyDescent="0.25">
      <c r="C34" s="7" t="s">
        <v>43</v>
      </c>
      <c r="D34" s="7">
        <v>0.5</v>
      </c>
      <c r="E34" s="7">
        <v>1</v>
      </c>
      <c r="F34" s="7">
        <v>2</v>
      </c>
      <c r="G34" s="22">
        <f>(D34+4*E34+F34)/6</f>
        <v>1.0833333333333333</v>
      </c>
    </row>
    <row r="35" spans="3:7" ht="30" x14ac:dyDescent="0.25">
      <c r="C35" s="7" t="s">
        <v>79</v>
      </c>
      <c r="D35" s="7">
        <v>0.5</v>
      </c>
      <c r="E35" s="7">
        <v>1</v>
      </c>
      <c r="F35" s="7">
        <v>2</v>
      </c>
      <c r="G35" s="22">
        <f t="shared" ref="G35" si="3">(D35+4*E35+F35)/6</f>
        <v>1.0833333333333333</v>
      </c>
    </row>
    <row r="36" spans="3:7" ht="30" x14ac:dyDescent="0.25">
      <c r="C36" s="7" t="s">
        <v>45</v>
      </c>
      <c r="D36" s="7">
        <v>1.5</v>
      </c>
      <c r="E36" s="7">
        <v>2</v>
      </c>
      <c r="F36" s="7">
        <v>3</v>
      </c>
      <c r="G36" s="22">
        <f>(D36+4*E36+F36)/6</f>
        <v>2.0833333333333335</v>
      </c>
    </row>
    <row r="37" spans="3:7" ht="30" x14ac:dyDescent="0.25">
      <c r="C37" s="7" t="s">
        <v>46</v>
      </c>
      <c r="D37" s="7">
        <v>3</v>
      </c>
      <c r="E37" s="7">
        <v>4</v>
      </c>
      <c r="F37" s="7">
        <v>6</v>
      </c>
      <c r="G37" s="22">
        <f>(D37+4*E37+F37)/6</f>
        <v>4.166666666666667</v>
      </c>
    </row>
    <row r="38" spans="3:7" x14ac:dyDescent="0.25">
      <c r="C38" s="21" t="s">
        <v>80</v>
      </c>
      <c r="D38" s="7"/>
      <c r="E38" s="7"/>
      <c r="F38" s="7"/>
      <c r="G38" s="23">
        <f>SUM(G33:G37)</f>
        <v>16.750000000000004</v>
      </c>
    </row>
    <row r="39" spans="3:7" x14ac:dyDescent="0.25">
      <c r="G39" s="31"/>
    </row>
    <row r="40" spans="3:7" x14ac:dyDescent="0.25">
      <c r="G40" s="31"/>
    </row>
  </sheetData>
  <mergeCells count="5">
    <mergeCell ref="K7:S7"/>
    <mergeCell ref="K4:S4"/>
    <mergeCell ref="B3:E3"/>
    <mergeCell ref="K5:S5"/>
    <mergeCell ref="K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T-Shirt</vt:lpstr>
      <vt:lpstr>Three point 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Koksiuk, Oleh</dc:creator>
  <cp:lastModifiedBy>Koksiuk, Oleh</cp:lastModifiedBy>
  <dcterms:created xsi:type="dcterms:W3CDTF">2015-06-05T18:17:20Z</dcterms:created>
  <dcterms:modified xsi:type="dcterms:W3CDTF">2025-07-14T15:24:30Z</dcterms:modified>
</cp:coreProperties>
</file>